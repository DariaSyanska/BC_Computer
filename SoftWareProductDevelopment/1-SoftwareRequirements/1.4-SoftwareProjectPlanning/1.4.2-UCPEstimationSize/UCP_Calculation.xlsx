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macbook/Downloads/"/>
    </mc:Choice>
  </mc:AlternateContent>
  <xr:revisionPtr revIDLastSave="0" documentId="13_ncr:1_{DD2C5591-8C02-6F48-9244-42EDB0CF861E}" xr6:coauthVersionLast="47" xr6:coauthVersionMax="47" xr10:uidLastSave="{00000000-0000-0000-0000-000000000000}"/>
  <bookViews>
    <workbookView xWindow="5380" yWindow="540" windowWidth="28800" windowHeight="16580" xr2:uid="{00000000-000D-0000-FFFF-FFFF00000000}"/>
  </bookViews>
  <sheets>
    <sheet name="Аркуш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B15" i="1" s="1"/>
  <c r="E44" i="1"/>
  <c r="E43" i="1"/>
  <c r="E42" i="1"/>
  <c r="E41" i="1"/>
  <c r="E40" i="1"/>
  <c r="E39" i="1"/>
  <c r="E38" i="1"/>
  <c r="E37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45" i="1" l="1"/>
  <c r="E46" i="1" s="1"/>
  <c r="E32" i="1"/>
  <c r="E33" i="1" s="1"/>
  <c r="C48" i="1" l="1"/>
  <c r="C50" i="1" s="1"/>
</calcChain>
</file>

<file path=xl/sharedStrings.xml><?xml version="1.0" encoding="utf-8"?>
<sst xmlns="http://schemas.openxmlformats.org/spreadsheetml/2006/main" count="85" uniqueCount="78">
  <si>
    <t>Таблиця 1 - Визначення нескоригованої ваги актора</t>
  </si>
  <si>
    <t>Назва актора</t>
  </si>
  <si>
    <t>Тип актора</t>
  </si>
  <si>
    <t>Ваговий коефіцієнт</t>
  </si>
  <si>
    <t>Простий</t>
  </si>
  <si>
    <t>Складний</t>
  </si>
  <si>
    <t xml:space="preserve">Таблиція 2 - Визначення не скоригованої ваги варіантів використання </t>
  </si>
  <si>
    <t>Прецедент</t>
  </si>
  <si>
    <t>Тип прецеденту</t>
  </si>
  <si>
    <t>Кількість функціональних вимог як кроків сценарію</t>
  </si>
  <si>
    <t>UUCP= UAW + UUCW</t>
  </si>
  <si>
    <t>Таблиця 3 - Показники технічної складності проекту TCF</t>
  </si>
  <si>
    <t>Показник</t>
  </si>
  <si>
    <t>Опис показника</t>
  </si>
  <si>
    <t>Вага_i</t>
  </si>
  <si>
    <t>STi</t>
  </si>
  <si>
    <t>STi * Вага_i</t>
  </si>
  <si>
    <t>Т1</t>
  </si>
  <si>
    <t>Розподілена система</t>
  </si>
  <si>
    <t>Т2</t>
  </si>
  <si>
    <t>Висока продуктивність (пропускна спроможність)</t>
  </si>
  <si>
    <t>T3</t>
  </si>
  <si>
    <t>Робота кінцевих користувачів в Online-режимі</t>
  </si>
  <si>
    <t>Т4</t>
  </si>
  <si>
    <t>Складна обробка даних</t>
  </si>
  <si>
    <t>Т5</t>
  </si>
  <si>
    <t>Повторне використання коду</t>
  </si>
  <si>
    <t>Т6</t>
  </si>
  <si>
    <t>Простота встановлення</t>
  </si>
  <si>
    <t>Т7</t>
  </si>
  <si>
    <t>Простота використання</t>
  </si>
  <si>
    <t>Т8</t>
  </si>
  <si>
    <t>Переносимість або кросплатформенність</t>
  </si>
  <si>
    <t>Т9</t>
  </si>
  <si>
    <t>Простота внесення змін</t>
  </si>
  <si>
    <t>T10</t>
  </si>
  <si>
    <t>Паралелізм процесів (наявність паралельних обчислень)</t>
  </si>
  <si>
    <t>T11</t>
  </si>
  <si>
    <t>Спеціальні вимоги до безпеки</t>
  </si>
  <si>
    <t>T12</t>
  </si>
  <si>
    <t>Безпосередній доступ до ПП зовнішніх користувачів</t>
  </si>
  <si>
    <t>T13</t>
  </si>
  <si>
    <t>Спеціальні вимоги до навчання користувачів</t>
  </si>
  <si>
    <t>(STi * Вага_i)</t>
  </si>
  <si>
    <t>TCF = 0,6 + (0,01 * (STi * Вага_i))</t>
  </si>
  <si>
    <t>Таблиця 4 - Показники рівня кваліфікації розробників EF</t>
  </si>
  <si>
    <t>SF_i</t>
  </si>
  <si>
    <t>SFi * Вага_i</t>
  </si>
  <si>
    <t>F1</t>
  </si>
  <si>
    <r>
      <rPr>
        <sz val="12"/>
        <color theme="1"/>
        <rFont val="Times New Roman"/>
      </rPr>
      <t xml:space="preserve">Знайомство з </t>
    </r>
    <r>
      <rPr>
        <i/>
        <sz val="12"/>
        <color theme="1"/>
        <rFont val="Times New Roman"/>
      </rPr>
      <t>UML</t>
    </r>
    <r>
      <rPr>
        <sz val="12"/>
        <color theme="1"/>
        <rFont val="Times New Roman"/>
      </rPr>
      <t>-моделювання</t>
    </r>
  </si>
  <si>
    <t>F2</t>
  </si>
  <si>
    <t>Досвід розробки програм</t>
  </si>
  <si>
    <t>F3</t>
  </si>
  <si>
    <t>Досвід використання об'єктно-орієнтованого підходу</t>
  </si>
  <si>
    <t>F4</t>
  </si>
  <si>
    <t>Наявність провідного аналітика</t>
  </si>
  <si>
    <t>F5</t>
  </si>
  <si>
    <t>Мотивація</t>
  </si>
  <si>
    <t>F6</t>
  </si>
  <si>
    <t>Стабільність вимог</t>
  </si>
  <si>
    <t>F7</t>
  </si>
  <si>
    <t>Часткова зайнятість</t>
  </si>
  <si>
    <t>F8</t>
  </si>
  <si>
    <t>Складність мови програмування</t>
  </si>
  <si>
    <t>(SFi * Вага_i)</t>
  </si>
  <si>
    <t>EF = 1,4 + (- 0,03 * (SFi * Вага_i))</t>
  </si>
  <si>
    <t>UCP = UUCP * TCF * EF</t>
  </si>
  <si>
    <t xml:space="preserve">Трудомісткість проекту = UCP * 20 = </t>
  </si>
  <si>
    <t>людино/годин</t>
  </si>
  <si>
    <t>Користувач (User)</t>
  </si>
  <si>
    <t>Зовнішній API (Apple Health)</t>
  </si>
  <si>
    <t>UAW = 3*1</t>
  </si>
  <si>
    <t>Моніторинг сну</t>
  </si>
  <si>
    <t>Контроль безпеки праці</t>
  </si>
  <si>
    <t>Редактор тексту з лічильником</t>
  </si>
  <si>
    <t>Система досягнень</t>
  </si>
  <si>
    <t>Середній</t>
  </si>
  <si>
    <t>UUCW = 2*10 + 2*5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</si>
</sst>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Arial"/>
      <scheme val="minor"/>
    </font>
    <font>
      <sz val="12"/>
      <color theme="1"/>
      <name val="Times New Roman"/>
    </font>
    <font>
      <sz val="12"/>
      <color rgb="FF000000"/>
      <name val="Times New Roman"/>
    </font>
    <font>
      <i/>
      <sz val="12"/>
      <color theme="1"/>
      <name val="Times New Roman"/>
    </font>
    <font>
      <sz val="10"/>
      <name val="Arial"/>
    </font>
    <font>
      <i/>
      <sz val="12"/>
      <color rgb="FF000000"/>
      <name val="&quot;Times New Roman&quot;"/>
    </font>
    <font>
      <i/>
      <sz val="12"/>
      <color theme="1"/>
      <name val="&quot;Times New Roman&quot;"/>
    </font>
    <font>
      <i/>
      <sz val="12"/>
      <color rgb="FF000000"/>
      <name val="Times New Roman"/>
    </font>
    <font>
      <sz val="12"/>
      <color rgb="FF000000"/>
      <name val="&quot;Times New Roman&quot;"/>
    </font>
    <font>
      <sz val="10"/>
      <color theme="1"/>
      <name val="Times New Roman"/>
    </font>
    <font>
      <sz val="12"/>
      <color rgb="FF000000"/>
      <name val="Times New Roman"/>
      <family val="1"/>
    </font>
    <font>
      <i/>
      <sz val="12"/>
      <color theme="1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wrapText="1"/>
    </xf>
    <xf numFmtId="0" fontId="2" fillId="3" borderId="4" xfId="0" applyFont="1" applyFill="1" applyBorder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3" fillId="3" borderId="1" xfId="0" applyFont="1" applyFill="1" applyBorder="1"/>
    <xf numFmtId="0" fontId="1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9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4" fillId="0" borderId="4" xfId="0" applyFont="1" applyBorder="1"/>
    <xf numFmtId="0" fontId="10" fillId="0" borderId="3" xfId="0" applyFont="1" applyBorder="1" applyAlignment="1">
      <alignment horizontal="center" vertical="top" wrapText="1"/>
    </xf>
    <xf numFmtId="0" fontId="10" fillId="0" borderId="4" xfId="0" applyFont="1" applyBorder="1" applyAlignment="1">
      <alignment horizontal="center" wrapText="1"/>
    </xf>
    <xf numFmtId="0" fontId="11" fillId="3" borderId="5" xfId="0" applyFont="1" applyFill="1" applyBorder="1" applyAlignment="1">
      <alignment horizontal="center" vertical="top"/>
    </xf>
    <xf numFmtId="0" fontId="12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top"/>
    </xf>
    <xf numFmtId="0" fontId="11" fillId="3" borderId="7" xfId="0" applyFont="1" applyFill="1" applyBorder="1" applyAlignment="1">
      <alignment horizontal="center" vertical="top"/>
    </xf>
    <xf numFmtId="0" fontId="11" fillId="3" borderId="2" xfId="0" applyFont="1" applyFill="1" applyBorder="1" applyAlignment="1">
      <alignment horizontal="center" vertical="top"/>
    </xf>
    <xf numFmtId="0" fontId="10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50"/>
  <sheetViews>
    <sheetView tabSelected="1" topLeftCell="A3" zoomScale="167" zoomScaleNormal="134" workbookViewId="0">
      <selection activeCell="C14" sqref="C14"/>
    </sheetView>
  </sheetViews>
  <sheetFormatPr baseColWidth="10" defaultColWidth="12.6640625" defaultRowHeight="15.75" customHeight="1"/>
  <cols>
    <col min="1" max="1" width="20.83203125" customWidth="1"/>
    <col min="2" max="2" width="23.1640625" customWidth="1"/>
    <col min="3" max="3" width="16" customWidth="1"/>
  </cols>
  <sheetData>
    <row r="1" spans="1:4">
      <c r="A1" s="27" t="s">
        <v>0</v>
      </c>
      <c r="B1" s="28"/>
      <c r="C1" s="28"/>
      <c r="D1" s="1"/>
    </row>
    <row r="2" spans="1:4" ht="34">
      <c r="A2" s="2" t="s">
        <v>1</v>
      </c>
      <c r="B2" s="3" t="s">
        <v>2</v>
      </c>
      <c r="C2" s="3" t="s">
        <v>3</v>
      </c>
      <c r="D2" s="1"/>
    </row>
    <row r="3" spans="1:4" ht="17">
      <c r="A3" s="30" t="s">
        <v>69</v>
      </c>
      <c r="B3" s="31" t="s">
        <v>5</v>
      </c>
      <c r="C3" s="4">
        <v>3</v>
      </c>
      <c r="D3" s="1"/>
    </row>
    <row r="4" spans="1:4" ht="34">
      <c r="A4" s="30" t="s">
        <v>70</v>
      </c>
      <c r="B4" s="31" t="s">
        <v>4</v>
      </c>
      <c r="C4" s="4">
        <v>1</v>
      </c>
      <c r="D4" s="1"/>
    </row>
    <row r="5" spans="1:4" ht="16">
      <c r="A5" s="32" t="s">
        <v>71</v>
      </c>
      <c r="B5" s="29"/>
      <c r="C5" s="5">
        <v>4</v>
      </c>
      <c r="D5" s="1"/>
    </row>
    <row r="6" spans="1:4">
      <c r="A6" s="1"/>
      <c r="B6" s="1"/>
      <c r="C6" s="1"/>
      <c r="D6" s="1"/>
    </row>
    <row r="7" spans="1:4">
      <c r="A7" s="27" t="s">
        <v>6</v>
      </c>
      <c r="B7" s="28"/>
      <c r="C7" s="28"/>
      <c r="D7" s="28"/>
    </row>
    <row r="8" spans="1:4" ht="15.75" customHeight="1">
      <c r="A8" s="2" t="s">
        <v>7</v>
      </c>
      <c r="B8" s="2" t="s">
        <v>8</v>
      </c>
      <c r="C8" s="41" t="s">
        <v>9</v>
      </c>
      <c r="D8" s="2" t="s">
        <v>3</v>
      </c>
    </row>
    <row r="9" spans="1:4" ht="15.75" customHeight="1">
      <c r="A9" s="33" t="s">
        <v>72</v>
      </c>
      <c r="B9" s="34" t="s">
        <v>76</v>
      </c>
      <c r="C9" s="34">
        <v>5</v>
      </c>
      <c r="D9" s="6">
        <v>10</v>
      </c>
    </row>
    <row r="10" spans="1:4" ht="15.75" customHeight="1">
      <c r="A10" s="33" t="s">
        <v>73</v>
      </c>
      <c r="B10" s="34" t="s">
        <v>4</v>
      </c>
      <c r="C10" s="34">
        <v>3</v>
      </c>
      <c r="D10" s="6">
        <v>5</v>
      </c>
    </row>
    <row r="11" spans="1:4" ht="15.75" customHeight="1">
      <c r="A11" s="33" t="s">
        <v>74</v>
      </c>
      <c r="B11" s="34" t="s">
        <v>76</v>
      </c>
      <c r="C11" s="34">
        <v>6</v>
      </c>
      <c r="D11" s="6">
        <v>10</v>
      </c>
    </row>
    <row r="12" spans="1:4" ht="15.75" customHeight="1">
      <c r="A12" s="33" t="s">
        <v>75</v>
      </c>
      <c r="B12" s="34" t="s">
        <v>4</v>
      </c>
      <c r="C12" s="6">
        <v>2</v>
      </c>
      <c r="D12" s="6">
        <v>5</v>
      </c>
    </row>
    <row r="13" spans="1:4" ht="16">
      <c r="A13" s="38" t="s">
        <v>77</v>
      </c>
      <c r="B13" s="39"/>
      <c r="C13" s="40"/>
      <c r="D13" s="5">
        <f>SUM(D9:D12)</f>
        <v>30</v>
      </c>
    </row>
    <row r="14" spans="1:4" ht="16">
      <c r="A14" s="1"/>
      <c r="B14" s="1"/>
      <c r="C14" s="1"/>
      <c r="D14" s="1"/>
    </row>
    <row r="15" spans="1:4" ht="16">
      <c r="A15" s="7" t="s">
        <v>10</v>
      </c>
      <c r="B15" s="8">
        <f>C5+D13</f>
        <v>34</v>
      </c>
      <c r="C15" s="1"/>
      <c r="D15" s="1"/>
    </row>
    <row r="16" spans="1:4" ht="16">
      <c r="A16" s="1"/>
      <c r="B16" s="1"/>
      <c r="C16" s="1"/>
      <c r="D16" s="1"/>
    </row>
    <row r="17" spans="1:5" ht="16">
      <c r="A17" s="1" t="s">
        <v>11</v>
      </c>
      <c r="B17" s="1"/>
      <c r="C17" s="1"/>
      <c r="D17" s="1"/>
    </row>
    <row r="18" spans="1:5" ht="15.75" customHeight="1">
      <c r="A18" s="2" t="s">
        <v>12</v>
      </c>
      <c r="B18" s="3" t="s">
        <v>13</v>
      </c>
      <c r="C18" s="9" t="s">
        <v>14</v>
      </c>
      <c r="D18" s="10" t="s">
        <v>15</v>
      </c>
      <c r="E18" s="11" t="s">
        <v>16</v>
      </c>
    </row>
    <row r="19" spans="1:5" ht="15.75" customHeight="1">
      <c r="A19" s="12" t="s">
        <v>17</v>
      </c>
      <c r="B19" s="13" t="s">
        <v>18</v>
      </c>
      <c r="C19" s="14">
        <v>2</v>
      </c>
      <c r="D19" s="15">
        <v>3</v>
      </c>
      <c r="E19" s="15">
        <f t="shared" ref="E19:E31" si="0">C19*D19</f>
        <v>6</v>
      </c>
    </row>
    <row r="20" spans="1:5" ht="15.75" customHeight="1">
      <c r="A20" s="12" t="s">
        <v>19</v>
      </c>
      <c r="B20" s="13" t="s">
        <v>20</v>
      </c>
      <c r="C20" s="14">
        <v>1</v>
      </c>
      <c r="D20" s="15">
        <v>3</v>
      </c>
      <c r="E20" s="15">
        <f t="shared" si="0"/>
        <v>3</v>
      </c>
    </row>
    <row r="21" spans="1:5" ht="15.75" customHeight="1">
      <c r="A21" s="12" t="s">
        <v>21</v>
      </c>
      <c r="B21" s="13" t="s">
        <v>22</v>
      </c>
      <c r="C21" s="14">
        <v>1</v>
      </c>
      <c r="D21" s="15">
        <v>5</v>
      </c>
      <c r="E21" s="15">
        <f t="shared" si="0"/>
        <v>5</v>
      </c>
    </row>
    <row r="22" spans="1:5" ht="15.75" customHeight="1">
      <c r="A22" s="12" t="s">
        <v>23</v>
      </c>
      <c r="B22" s="13" t="s">
        <v>24</v>
      </c>
      <c r="C22" s="14">
        <v>-1</v>
      </c>
      <c r="D22" s="15">
        <v>1</v>
      </c>
      <c r="E22" s="15">
        <f t="shared" si="0"/>
        <v>-1</v>
      </c>
    </row>
    <row r="23" spans="1:5" ht="15.75" customHeight="1">
      <c r="A23" s="12" t="s">
        <v>25</v>
      </c>
      <c r="B23" s="13" t="s">
        <v>26</v>
      </c>
      <c r="C23" s="14">
        <v>1</v>
      </c>
      <c r="D23" s="15">
        <v>2</v>
      </c>
      <c r="E23" s="15">
        <f t="shared" si="0"/>
        <v>2</v>
      </c>
    </row>
    <row r="24" spans="1:5" ht="15.75" customHeight="1">
      <c r="A24" s="12" t="s">
        <v>27</v>
      </c>
      <c r="B24" s="13" t="s">
        <v>28</v>
      </c>
      <c r="C24" s="14">
        <v>0.5</v>
      </c>
      <c r="D24" s="15">
        <v>5</v>
      </c>
      <c r="E24" s="15">
        <f t="shared" si="0"/>
        <v>2.5</v>
      </c>
    </row>
    <row r="25" spans="1:5" ht="15.75" customHeight="1">
      <c r="A25" s="12" t="s">
        <v>29</v>
      </c>
      <c r="B25" s="13" t="s">
        <v>30</v>
      </c>
      <c r="C25" s="14">
        <v>0.5</v>
      </c>
      <c r="D25" s="15">
        <v>5</v>
      </c>
      <c r="E25" s="15">
        <f t="shared" si="0"/>
        <v>2.5</v>
      </c>
    </row>
    <row r="26" spans="1:5" ht="15.75" customHeight="1">
      <c r="A26" s="12" t="s">
        <v>31</v>
      </c>
      <c r="B26" s="13" t="s">
        <v>32</v>
      </c>
      <c r="C26" s="14">
        <v>2</v>
      </c>
      <c r="D26" s="15">
        <v>5</v>
      </c>
      <c r="E26" s="15">
        <f t="shared" si="0"/>
        <v>10</v>
      </c>
    </row>
    <row r="27" spans="1:5" ht="15.75" customHeight="1">
      <c r="A27" s="12" t="s">
        <v>33</v>
      </c>
      <c r="B27" s="13" t="s">
        <v>34</v>
      </c>
      <c r="C27" s="14">
        <v>1</v>
      </c>
      <c r="D27" s="15">
        <v>2</v>
      </c>
      <c r="E27" s="15">
        <f t="shared" si="0"/>
        <v>2</v>
      </c>
    </row>
    <row r="28" spans="1:5" ht="15.75" customHeight="1">
      <c r="A28" s="12" t="s">
        <v>35</v>
      </c>
      <c r="B28" s="13" t="s">
        <v>36</v>
      </c>
      <c r="C28" s="14">
        <v>1</v>
      </c>
      <c r="D28" s="15">
        <v>1</v>
      </c>
      <c r="E28" s="15">
        <f t="shared" si="0"/>
        <v>1</v>
      </c>
    </row>
    <row r="29" spans="1:5" ht="15.75" customHeight="1">
      <c r="A29" s="12" t="s">
        <v>37</v>
      </c>
      <c r="B29" s="13" t="s">
        <v>38</v>
      </c>
      <c r="C29" s="16">
        <v>1</v>
      </c>
      <c r="D29" s="6">
        <v>2</v>
      </c>
      <c r="E29" s="6">
        <f t="shared" si="0"/>
        <v>2</v>
      </c>
    </row>
    <row r="30" spans="1:5" ht="15.75" customHeight="1">
      <c r="A30" s="12" t="s">
        <v>39</v>
      </c>
      <c r="B30" s="13" t="s">
        <v>40</v>
      </c>
      <c r="C30" s="16">
        <v>1</v>
      </c>
      <c r="D30" s="6">
        <v>5</v>
      </c>
      <c r="E30" s="6">
        <f t="shared" si="0"/>
        <v>5</v>
      </c>
    </row>
    <row r="31" spans="1:5" ht="15.75" customHeight="1">
      <c r="A31" s="12" t="s">
        <v>41</v>
      </c>
      <c r="B31" s="6" t="s">
        <v>42</v>
      </c>
      <c r="C31" s="16">
        <v>1</v>
      </c>
      <c r="D31" s="6">
        <v>1</v>
      </c>
      <c r="E31" s="6">
        <f t="shared" si="0"/>
        <v>1</v>
      </c>
    </row>
    <row r="32" spans="1:5" ht="15.75" customHeight="1">
      <c r="A32" s="25" t="s">
        <v>43</v>
      </c>
      <c r="B32" s="36"/>
      <c r="C32" s="36"/>
      <c r="D32" s="37"/>
      <c r="E32" s="17">
        <f>SUM(E19:E31)</f>
        <v>41</v>
      </c>
    </row>
    <row r="33" spans="1:5" ht="16" customHeight="1">
      <c r="A33" s="25" t="s">
        <v>44</v>
      </c>
      <c r="B33" s="36"/>
      <c r="C33" s="36"/>
      <c r="D33" s="37"/>
      <c r="E33" s="18">
        <f>0.6+0.01*E32</f>
        <v>1.01</v>
      </c>
    </row>
    <row r="35" spans="1:5" ht="16">
      <c r="A35" s="1" t="s">
        <v>45</v>
      </c>
      <c r="B35" s="1"/>
      <c r="C35" s="1"/>
      <c r="D35" s="19"/>
      <c r="E35" s="19"/>
    </row>
    <row r="36" spans="1:5" ht="17">
      <c r="A36" s="20" t="s">
        <v>12</v>
      </c>
      <c r="B36" s="21" t="s">
        <v>13</v>
      </c>
      <c r="C36" s="22" t="s">
        <v>14</v>
      </c>
      <c r="D36" s="22" t="s">
        <v>46</v>
      </c>
      <c r="E36" s="23" t="s">
        <v>47</v>
      </c>
    </row>
    <row r="37" spans="1:5" ht="15.75" customHeight="1">
      <c r="A37" s="12" t="s">
        <v>48</v>
      </c>
      <c r="B37" s="13" t="s">
        <v>49</v>
      </c>
      <c r="C37" s="6">
        <v>1.5</v>
      </c>
      <c r="D37" s="24">
        <v>4</v>
      </c>
      <c r="E37" s="24">
        <f t="shared" ref="E37:E44" si="1">C37*D37</f>
        <v>6</v>
      </c>
    </row>
    <row r="38" spans="1:5" ht="15.75" customHeight="1">
      <c r="A38" s="12" t="s">
        <v>50</v>
      </c>
      <c r="B38" s="13" t="s">
        <v>51</v>
      </c>
      <c r="C38" s="6">
        <v>0.5</v>
      </c>
      <c r="D38" s="24">
        <v>3</v>
      </c>
      <c r="E38" s="24">
        <f t="shared" si="1"/>
        <v>1.5</v>
      </c>
    </row>
    <row r="39" spans="1:5" ht="15.75" customHeight="1">
      <c r="A39" s="12" t="s">
        <v>52</v>
      </c>
      <c r="B39" s="13" t="s">
        <v>53</v>
      </c>
      <c r="C39" s="6">
        <v>1</v>
      </c>
      <c r="D39" s="24">
        <v>3</v>
      </c>
      <c r="E39" s="24">
        <f t="shared" si="1"/>
        <v>3</v>
      </c>
    </row>
    <row r="40" spans="1:5" ht="15.75" customHeight="1">
      <c r="A40" s="12" t="s">
        <v>54</v>
      </c>
      <c r="B40" s="13" t="s">
        <v>55</v>
      </c>
      <c r="C40" s="6">
        <v>0.5</v>
      </c>
      <c r="D40" s="24">
        <v>1</v>
      </c>
      <c r="E40" s="24">
        <f t="shared" si="1"/>
        <v>0.5</v>
      </c>
    </row>
    <row r="41" spans="1:5" ht="15.75" customHeight="1">
      <c r="A41" s="12" t="s">
        <v>56</v>
      </c>
      <c r="B41" s="13" t="s">
        <v>57</v>
      </c>
      <c r="C41" s="6">
        <v>1</v>
      </c>
      <c r="D41" s="24">
        <v>3</v>
      </c>
      <c r="E41" s="24">
        <f t="shared" si="1"/>
        <v>3</v>
      </c>
    </row>
    <row r="42" spans="1:5" ht="15.75" customHeight="1">
      <c r="A42" s="12" t="s">
        <v>58</v>
      </c>
      <c r="B42" s="13" t="s">
        <v>59</v>
      </c>
      <c r="C42" s="6">
        <v>2</v>
      </c>
      <c r="D42" s="24">
        <v>5</v>
      </c>
      <c r="E42" s="24">
        <f t="shared" si="1"/>
        <v>10</v>
      </c>
    </row>
    <row r="43" spans="1:5" ht="15.75" customHeight="1">
      <c r="A43" s="12" t="s">
        <v>60</v>
      </c>
      <c r="B43" s="13" t="s">
        <v>61</v>
      </c>
      <c r="C43" s="6">
        <v>-1</v>
      </c>
      <c r="D43" s="24">
        <v>5</v>
      </c>
      <c r="E43" s="24">
        <f t="shared" si="1"/>
        <v>-5</v>
      </c>
    </row>
    <row r="44" spans="1:5" ht="15.75" customHeight="1">
      <c r="A44" s="12" t="s">
        <v>62</v>
      </c>
      <c r="B44" s="13" t="s">
        <v>63</v>
      </c>
      <c r="C44" s="6">
        <v>-1</v>
      </c>
      <c r="D44" s="24">
        <v>3</v>
      </c>
      <c r="E44" s="24">
        <f t="shared" si="1"/>
        <v>-3</v>
      </c>
    </row>
    <row r="45" spans="1:5" ht="15.75" customHeight="1">
      <c r="A45" s="25" t="s">
        <v>64</v>
      </c>
      <c r="B45" s="36"/>
      <c r="C45" s="36"/>
      <c r="D45" s="37"/>
      <c r="E45" s="8">
        <f>SUM(E37:E44)</f>
        <v>16</v>
      </c>
    </row>
    <row r="46" spans="1:5" ht="16" customHeight="1">
      <c r="A46" s="25" t="s">
        <v>65</v>
      </c>
      <c r="B46" s="36"/>
      <c r="C46" s="36"/>
      <c r="D46" s="37"/>
      <c r="E46" s="18">
        <f>1.4-0.03*E45</f>
        <v>0.91999999999999993</v>
      </c>
    </row>
    <row r="48" spans="1:5" ht="16">
      <c r="A48" s="26" t="s">
        <v>66</v>
      </c>
      <c r="B48" s="35"/>
      <c r="C48" s="18">
        <f>B15*E33*E46</f>
        <v>31.5928</v>
      </c>
    </row>
    <row r="50" spans="1:4" ht="16">
      <c r="A50" s="26" t="s">
        <v>67</v>
      </c>
      <c r="B50" s="35"/>
      <c r="C50" s="18">
        <f>C48*20</f>
        <v>631.85599999999999</v>
      </c>
      <c r="D50" s="7" t="s">
        <v>68</v>
      </c>
    </row>
  </sheetData>
  <mergeCells count="10">
    <mergeCell ref="A46:D46"/>
    <mergeCell ref="A48:B48"/>
    <mergeCell ref="A50:B50"/>
    <mergeCell ref="A1:C1"/>
    <mergeCell ref="A5:B5"/>
    <mergeCell ref="A7:D7"/>
    <mergeCell ref="A13:C13"/>
    <mergeCell ref="A32:D32"/>
    <mergeCell ref="A33:D33"/>
    <mergeCell ref="A45:D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Аркуш1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MacBook</cp:lastModifiedBy>
  <dcterms:modified xsi:type="dcterms:W3CDTF">2026-02-22T16:19:39Z</dcterms:modified>
</cp:coreProperties>
</file>